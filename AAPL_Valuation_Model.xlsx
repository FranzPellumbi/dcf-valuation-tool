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 Model" sheetId="2" state="visible" r:id="rId2"/>
    <sheet name="Historical FCF" sheetId="3" state="visible" r:id="rId3"/>
    <sheet name="Comps" sheetId="4" state="visible" r:id="rId4"/>
    <sheet name="Monte Car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000"/>
    <numFmt numFmtId="167" formatCode="0.0x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0" fontId="7" fillId="2" borderId="0" applyAlignment="1" pivotButton="0" quotePrefix="0" xfId="0">
      <alignment horizontal="center" vertical="center"/>
    </xf>
    <xf numFmtId="10" fontId="5" fillId="0" borderId="0" pivotButton="0" quotePrefix="0" xfId="0"/>
    <xf numFmtId="166" fontId="5" fillId="0" borderId="0" pivotButton="0" quotePrefix="0" xfId="0"/>
    <xf numFmtId="0" fontId="4" fillId="3" borderId="0" pivotButton="0" quotePrefix="0" xfId="0"/>
    <xf numFmtId="167" fontId="4" fillId="3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DCF Valuation Report — AAPL</t>
        </is>
      </c>
    </row>
    <row r="2">
      <c r="A2" s="2" t="inlineStr">
        <is>
          <t>Generated: June 28, 2026</t>
        </is>
      </c>
    </row>
    <row r="3">
      <c r="A3" s="3" t="inlineStr"/>
    </row>
    <row r="4">
      <c r="A4" s="3" t="inlineStr">
        <is>
          <t>KEY METRICS</t>
        </is>
      </c>
    </row>
    <row r="5">
      <c r="A5" s="4" t="inlineStr">
        <is>
          <t>Current Price ($)</t>
        </is>
      </c>
      <c r="B5" s="5" t="n">
        <v>283.78</v>
      </c>
    </row>
    <row r="6">
      <c r="A6" s="4" t="inlineStr">
        <is>
          <t>Intrinsic Value — DCF ($)</t>
        </is>
      </c>
      <c r="B6" s="5" t="n">
        <v>114.1504584436674</v>
      </c>
    </row>
    <row r="7">
      <c r="A7" s="4" t="inlineStr">
        <is>
          <t>Upside / Downside</t>
        </is>
      </c>
      <c r="B7" s="6">
        <f>(B6-B5)/B5</f>
        <v/>
      </c>
    </row>
    <row r="8">
      <c r="A8" s="3" t="inlineStr"/>
    </row>
    <row r="9">
      <c r="A9" s="3" t="inlineStr">
        <is>
          <t>DCF ASSUMPTIONS</t>
        </is>
      </c>
    </row>
    <row r="10">
      <c r="A10" s="4" t="inlineStr">
        <is>
          <t>WACC</t>
        </is>
      </c>
      <c r="B10" s="7" t="n">
        <v>0.1018</v>
      </c>
    </row>
    <row r="11">
      <c r="A11" s="4" t="inlineStr">
        <is>
          <t>FCF Growth Rate</t>
        </is>
      </c>
      <c r="B11" s="7" t="n">
        <v>0.08</v>
      </c>
    </row>
    <row r="12">
      <c r="A12" s="4" t="inlineStr">
        <is>
          <t>Terminal Growth Rate</t>
        </is>
      </c>
      <c r="B12" s="7" t="n">
        <v>0.02</v>
      </c>
    </row>
    <row r="13">
      <c r="A13" s="3" t="inlineStr"/>
    </row>
    <row r="14">
      <c r="A14" s="3" t="inlineStr">
        <is>
          <t>MONTE CARLO</t>
        </is>
      </c>
    </row>
    <row r="15">
      <c r="A15" s="4" t="inlineStr">
        <is>
          <t>Median Intrinsic Value ($)</t>
        </is>
      </c>
      <c r="B15" s="5" t="n">
        <v>114.0364063246549</v>
      </c>
    </row>
    <row r="16">
      <c r="A16" s="4" t="inlineStr">
        <is>
          <t>5th Percentile — Bear ($)</t>
        </is>
      </c>
      <c r="B16" s="5" t="n">
        <v>90.36884018714396</v>
      </c>
    </row>
    <row r="17">
      <c r="A17" s="4" t="inlineStr">
        <is>
          <t>95th Percentile — Bull ($)</t>
        </is>
      </c>
      <c r="B17" s="5" t="n">
        <v>150.5895162025716</v>
      </c>
    </row>
    <row r="18">
      <c r="A18" s="4" t="inlineStr">
        <is>
          <t>Probability Overvalued</t>
        </is>
      </c>
      <c r="B18" s="7" t="n">
        <v>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Metric</t>
        </is>
      </c>
      <c r="B1" s="8" t="inlineStr">
        <is>
          <t>Year 1</t>
        </is>
      </c>
      <c r="C1" s="8" t="inlineStr">
        <is>
          <t>Year 2</t>
        </is>
      </c>
      <c r="D1" s="8" t="inlineStr">
        <is>
          <t>Year 3</t>
        </is>
      </c>
      <c r="E1" s="8" t="inlineStr">
        <is>
          <t>Year 4</t>
        </is>
      </c>
      <c r="F1" s="8" t="inlineStr">
        <is>
          <t>Year 5</t>
        </is>
      </c>
      <c r="G1" s="8" t="inlineStr">
        <is>
          <t>Terminal</t>
        </is>
      </c>
      <c r="H1" s="8" t="inlineStr">
        <is>
          <t>PV Total</t>
        </is>
      </c>
    </row>
    <row r="2">
      <c r="A2" s="4" t="inlineStr">
        <is>
          <t>Base FCF ($B)</t>
        </is>
      </c>
      <c r="B2" s="5" t="n">
        <v>104.65</v>
      </c>
      <c r="C2" s="5" t="inlineStr"/>
      <c r="D2" s="5" t="inlineStr"/>
      <c r="E2" s="5" t="inlineStr"/>
      <c r="F2" s="5" t="inlineStr"/>
      <c r="G2" s="5" t="inlineStr"/>
      <c r="H2" s="5" t="inlineStr"/>
    </row>
    <row r="3">
      <c r="A3" s="4" t="inlineStr">
        <is>
          <t>Growth Rate</t>
        </is>
      </c>
      <c r="B3" s="9" t="n">
        <v>0.08</v>
      </c>
      <c r="C3" s="9" t="n">
        <v>0.08</v>
      </c>
      <c r="D3" s="9" t="n">
        <v>0.08</v>
      </c>
      <c r="E3" s="9" t="n">
        <v>0.08</v>
      </c>
      <c r="F3" s="9" t="n">
        <v>0.08</v>
      </c>
      <c r="G3" s="9" t="inlineStr"/>
      <c r="H3" s="9" t="inlineStr"/>
    </row>
    <row r="4">
      <c r="A4" s="4" t="inlineStr">
        <is>
          <t>Projected FCF ($B)</t>
        </is>
      </c>
      <c r="B4" s="5" t="n">
        <v>116.11</v>
      </c>
      <c r="C4" s="5" t="n">
        <v>123.96</v>
      </c>
      <c r="D4" s="5" t="n">
        <v>130.5</v>
      </c>
      <c r="E4" s="5" t="n">
        <v>135.43</v>
      </c>
      <c r="F4" s="5" t="n">
        <v>138.51</v>
      </c>
      <c r="G4" s="5" t="inlineStr"/>
      <c r="H4" s="5" t="inlineStr"/>
    </row>
    <row r="5">
      <c r="A5" s="4" t="inlineStr">
        <is>
          <t>Discount Factor</t>
        </is>
      </c>
      <c r="B5" s="10" t="n">
        <v>0.9076</v>
      </c>
      <c r="C5" s="10" t="n">
        <v>0.8237</v>
      </c>
      <c r="D5" s="10" t="n">
        <v>0.7476</v>
      </c>
      <c r="E5" s="10" t="n">
        <v>0.6786</v>
      </c>
      <c r="F5" s="10" t="n">
        <v>0.6159</v>
      </c>
      <c r="G5" s="10" t="inlineStr"/>
      <c r="H5" s="10" t="inlineStr"/>
    </row>
    <row r="6">
      <c r="A6" s="4" t="inlineStr">
        <is>
          <t>PV of FCF ($B)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8" t="inlineStr">
        <is>
          <t>Date</t>
        </is>
      </c>
      <c r="B1" s="8" t="inlineStr">
        <is>
          <t>Free Cash Flow ($B)</t>
        </is>
      </c>
    </row>
    <row r="2">
      <c r="A2" s="4" t="inlineStr">
        <is>
          <t>2025-09-30</t>
        </is>
      </c>
      <c r="B2" s="5" t="n">
        <v>98.77</v>
      </c>
    </row>
    <row r="3">
      <c r="A3" s="4" t="inlineStr">
        <is>
          <t>2024-09-30</t>
        </is>
      </c>
      <c r="B3" s="5" t="n">
        <v>108.81</v>
      </c>
    </row>
    <row r="4">
      <c r="A4" s="4" t="inlineStr">
        <is>
          <t>2023-09-30</t>
        </is>
      </c>
      <c r="B4" s="5" t="n">
        <v>99.58</v>
      </c>
    </row>
    <row r="5">
      <c r="A5" s="4" t="inlineStr">
        <is>
          <t>2022-09-30</t>
        </is>
      </c>
      <c r="B5" s="5" t="n">
        <v>111.44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8" t="inlineStr">
        <is>
          <t>Ticker</t>
        </is>
      </c>
      <c r="B1" s="8" t="inlineStr">
        <is>
          <t>Price</t>
        </is>
      </c>
      <c r="C1" s="8" t="inlineStr">
        <is>
          <t>Market Cap ($B)</t>
        </is>
      </c>
      <c r="D1" s="8" t="inlineStr">
        <is>
          <t>EV/EBITDA</t>
        </is>
      </c>
      <c r="E1" s="8" t="inlineStr">
        <is>
          <t>P/E</t>
        </is>
      </c>
      <c r="F1" s="8" t="inlineStr">
        <is>
          <t>P/FCF</t>
        </is>
      </c>
    </row>
    <row r="2">
      <c r="A2" s="11" t="inlineStr">
        <is>
          <t>AAPL</t>
        </is>
      </c>
      <c r="B2" s="11" t="inlineStr">
        <is>
          <t>$283.78</t>
        </is>
      </c>
      <c r="C2" s="11" t="n">
        <v>4168</v>
      </c>
      <c r="D2" s="12" t="n">
        <v>26.16</v>
      </c>
      <c r="E2" s="12" t="n">
        <v>34.36</v>
      </c>
      <c r="F2" s="12" t="n">
        <v>42.2</v>
      </c>
    </row>
    <row r="3">
      <c r="A3" s="4" t="inlineStr">
        <is>
          <t>MSFT</t>
        </is>
      </c>
      <c r="B3" s="4" t="inlineStr">
        <is>
          <t>$372.97</t>
        </is>
      </c>
      <c r="C3" s="4" t="n">
        <v>2770.6</v>
      </c>
      <c r="D3" s="13" t="n">
        <v>15.28</v>
      </c>
      <c r="E3" s="13" t="n">
        <v>22.23</v>
      </c>
      <c r="F3" s="13" t="n">
        <v>38.69</v>
      </c>
    </row>
    <row r="4">
      <c r="A4" s="11" t="inlineStr">
        <is>
          <t>GOOGL</t>
        </is>
      </c>
      <c r="B4" s="11" t="inlineStr">
        <is>
          <t>$337.39</t>
        </is>
      </c>
      <c r="C4" s="11" t="n">
        <v>4117</v>
      </c>
      <c r="D4" s="12" t="n">
        <v>25.15</v>
      </c>
      <c r="E4" s="12" t="n">
        <v>25.72</v>
      </c>
      <c r="F4" s="12" t="n">
        <v>56.19</v>
      </c>
    </row>
    <row r="5">
      <c r="A5" s="4" t="inlineStr">
        <is>
          <t>META</t>
        </is>
      </c>
      <c r="B5" s="4" t="inlineStr">
        <is>
          <t>$550.25</t>
        </is>
      </c>
      <c r="C5" s="4" t="n">
        <v>1396.8</v>
      </c>
      <c r="D5" s="13" t="n">
        <v>12.83</v>
      </c>
      <c r="E5" s="13" t="n">
        <v>20</v>
      </c>
      <c r="F5" s="13" t="n">
        <v>30.29</v>
      </c>
    </row>
    <row r="6">
      <c r="A6" s="11" t="inlineStr">
        <is>
          <t>AMZN</t>
        </is>
      </c>
      <c r="B6" s="11" t="inlineStr">
        <is>
          <t>$232.69</t>
        </is>
      </c>
      <c r="C6" s="11" t="n">
        <v>2503.1</v>
      </c>
      <c r="D6" s="12" t="n">
        <v>16.65</v>
      </c>
      <c r="E6" s="12" t="n">
        <v>31.66</v>
      </c>
      <c r="F6" s="12" t="n">
        <v>325.29</v>
      </c>
    </row>
    <row r="7">
      <c r="A7" s="4" t="inlineStr">
        <is>
          <t>NVDA</t>
        </is>
      </c>
      <c r="B7" s="4" t="inlineStr">
        <is>
          <t>$192.53</t>
        </is>
      </c>
      <c r="C7" s="4" t="n">
        <v>4663.3</v>
      </c>
      <c r="D7" s="13" t="n">
        <v>27.91</v>
      </c>
      <c r="E7" s="13" t="n">
        <v>29.48</v>
      </c>
      <c r="F7" s="13" t="n">
        <v>48.24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8" t="inlineStr">
        <is>
          <t>Percentile</t>
        </is>
      </c>
      <c r="B1" s="8" t="inlineStr">
        <is>
          <t>Implied Value Per Share ($)</t>
        </is>
      </c>
    </row>
    <row r="2">
      <c r="A2" s="4" t="inlineStr">
        <is>
          <t>5th (Bear Case)</t>
        </is>
      </c>
      <c r="B2" s="5" t="n">
        <v>90.37</v>
      </c>
    </row>
    <row r="3">
      <c r="A3" s="4" t="inlineStr">
        <is>
          <t>25th Percentile</t>
        </is>
      </c>
      <c r="B3" s="5" t="n">
        <v>102.09</v>
      </c>
    </row>
    <row r="4">
      <c r="A4" s="4" t="inlineStr">
        <is>
          <t>50th — Median</t>
        </is>
      </c>
      <c r="B4" s="5" t="n">
        <v>114.04</v>
      </c>
    </row>
    <row r="5">
      <c r="A5" s="4" t="inlineStr">
        <is>
          <t>75th Percentile</t>
        </is>
      </c>
      <c r="B5" s="5" t="n">
        <v>127.97</v>
      </c>
    </row>
    <row r="6">
      <c r="A6" s="4" t="inlineStr">
        <is>
          <t>95th (Bull Case)</t>
        </is>
      </c>
      <c r="B6" s="5" t="n">
        <v>150.59</v>
      </c>
    </row>
    <row r="7">
      <c r="A7" s="4" t="inlineStr">
        <is>
          <t>Mean</t>
        </is>
      </c>
      <c r="B7" s="5" t="n">
        <v>116.14</v>
      </c>
    </row>
    <row r="8">
      <c r="A8" s="4" t="inlineStr">
        <is>
          <t>Std Deviation</t>
        </is>
      </c>
      <c r="B8" s="5" t="n">
        <v>19.29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2026-06-29T01:08:53Z</dcterms:created>
  <dcterms:modified xsi:type="dcterms:W3CDTF">2026-06-29T01:08:53Z</dcterms:modified>
</cp:coreProperties>
</file>